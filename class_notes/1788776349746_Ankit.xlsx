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IILM Kolkata\Documents\"/>
    </mc:Choice>
  </mc:AlternateContent>
  <bookViews>
    <workbookView xWindow="0" yWindow="0" windowWidth="24000" windowHeight="963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2" i="1"/>
  <c r="N3" i="1"/>
  <c r="N4" i="1"/>
  <c r="N5" i="1"/>
  <c r="N6" i="1"/>
  <c r="N7" i="1"/>
  <c r="N8" i="1"/>
  <c r="N9" i="1"/>
  <c r="N10" i="1"/>
  <c r="N2" i="1"/>
  <c r="L13" i="1"/>
  <c r="K2" i="1"/>
  <c r="K13" i="1"/>
  <c r="D19" i="1"/>
  <c r="E19" i="1"/>
  <c r="F19" i="1"/>
  <c r="G19" i="1"/>
  <c r="H19" i="1"/>
  <c r="I19" i="1"/>
  <c r="C19" i="1"/>
  <c r="D18" i="1"/>
  <c r="E18" i="1"/>
  <c r="F18" i="1"/>
  <c r="G18" i="1"/>
  <c r="H18" i="1"/>
  <c r="I18" i="1"/>
  <c r="C18" i="1"/>
  <c r="D17" i="1"/>
  <c r="E17" i="1"/>
  <c r="F17" i="1"/>
  <c r="G17" i="1"/>
  <c r="H17" i="1"/>
  <c r="I17" i="1"/>
  <c r="C17" i="1"/>
  <c r="D16" i="1" l="1"/>
  <c r="E16" i="1"/>
  <c r="F16" i="1"/>
  <c r="G16" i="1"/>
  <c r="H16" i="1"/>
  <c r="I16" i="1"/>
  <c r="C16" i="1"/>
  <c r="D15" i="1"/>
  <c r="E15" i="1"/>
  <c r="F15" i="1"/>
  <c r="G15" i="1"/>
  <c r="H15" i="1"/>
  <c r="I15" i="1"/>
  <c r="C15" i="1"/>
  <c r="D13" i="1"/>
  <c r="E13" i="1"/>
  <c r="F13" i="1"/>
  <c r="G13" i="1"/>
  <c r="H13" i="1"/>
  <c r="I13" i="1"/>
  <c r="C13" i="1"/>
  <c r="M3" i="1"/>
  <c r="M4" i="1"/>
  <c r="M5" i="1"/>
  <c r="M6" i="1"/>
  <c r="M7" i="1"/>
  <c r="M8" i="1"/>
  <c r="M9" i="1"/>
  <c r="M10" i="1"/>
  <c r="M2" i="1"/>
  <c r="D12" i="1"/>
  <c r="E12" i="1"/>
  <c r="F12" i="1"/>
  <c r="G12" i="1"/>
  <c r="H12" i="1"/>
  <c r="I12" i="1"/>
  <c r="C12" i="1"/>
  <c r="L3" i="1"/>
  <c r="L4" i="1"/>
  <c r="L5" i="1"/>
  <c r="L6" i="1"/>
  <c r="L7" i="1"/>
  <c r="L8" i="1"/>
  <c r="L9" i="1"/>
  <c r="L10" i="1"/>
  <c r="L2" i="1"/>
  <c r="K8" i="1" l="1"/>
  <c r="J3" i="1"/>
  <c r="K3" i="1" s="1"/>
  <c r="J4" i="1"/>
  <c r="K4" i="1" s="1"/>
  <c r="J5" i="1"/>
  <c r="K5" i="1" s="1"/>
  <c r="J6" i="1"/>
  <c r="K6" i="1" s="1"/>
  <c r="J7" i="1"/>
  <c r="K7" i="1" s="1"/>
  <c r="J8" i="1"/>
  <c r="J9" i="1"/>
  <c r="K9" i="1" s="1"/>
  <c r="J10" i="1"/>
  <c r="K10" i="1" s="1"/>
  <c r="J2" i="1"/>
</calcChain>
</file>

<file path=xl/sharedStrings.xml><?xml version="1.0" encoding="utf-8"?>
<sst xmlns="http://schemas.openxmlformats.org/spreadsheetml/2006/main" count="33" uniqueCount="33">
  <si>
    <t>ROLL NO</t>
  </si>
  <si>
    <t>STUDENT NAME</t>
  </si>
  <si>
    <t>subject1</t>
  </si>
  <si>
    <t>subject2</t>
  </si>
  <si>
    <t>subject3</t>
  </si>
  <si>
    <t>subject4</t>
  </si>
  <si>
    <t>AVG</t>
  </si>
  <si>
    <t>subject5</t>
  </si>
  <si>
    <t>subject6</t>
  </si>
  <si>
    <t>subject7</t>
  </si>
  <si>
    <t xml:space="preserve">  TOTAL</t>
  </si>
  <si>
    <t>Archita Mondal</t>
  </si>
  <si>
    <t>MAX</t>
  </si>
  <si>
    <t>Each Subject Max</t>
  </si>
  <si>
    <t>MIN</t>
  </si>
  <si>
    <t>Each Subject Min</t>
  </si>
  <si>
    <t>Numericals</t>
  </si>
  <si>
    <t>80+ obtain student no</t>
  </si>
  <si>
    <t>80- obtain student no</t>
  </si>
  <si>
    <t>90+ obtain student no</t>
  </si>
  <si>
    <t>60- obtain student no</t>
  </si>
  <si>
    <t>Highest AVG Marks</t>
  </si>
  <si>
    <t>Lowerst Indivisual Marks</t>
  </si>
  <si>
    <t>No Of Student Get 80+</t>
  </si>
  <si>
    <t>Ankit Sarkar</t>
  </si>
  <si>
    <t>Kanu Das</t>
  </si>
  <si>
    <t>Mrinmoyee Chakraborty</t>
  </si>
  <si>
    <t>Divyanka Mahanta</t>
  </si>
  <si>
    <t>Prantik Sarkar</t>
  </si>
  <si>
    <t>Arpan Patra</t>
  </si>
  <si>
    <t>Ajay Jana</t>
  </si>
  <si>
    <t>Chaaachaaa</t>
  </si>
  <si>
    <t>Highest Indivisual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</si>
</sst>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name val="Calibri"/>
      <family val="2"/>
    </font>
    <font>
      <b/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2" tint="-0.499984740745262"/>
        <bgColor rgb="FFFFFF00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K14" sqref="K14"/>
    </sheetView>
  </sheetViews>
  <sheetFormatPr defaultRowHeight="15" x14ac:dyDescent="0.25"/>
  <cols>
    <col min="1" max="1" width="8.5703125" bestFit="1" customWidth="1"/>
    <col min="2" max="2" width="25" customWidth="1"/>
    <col min="3" max="9" width="8.42578125" bestFit="1" customWidth="1"/>
    <col min="11" max="11" width="18" bestFit="1" customWidth="1"/>
    <col min="12" max="13" width="23.28515625" bestFit="1" customWidth="1"/>
    <col min="14" max="14" width="23" bestFit="1" customWidth="1"/>
    <col min="15" max="15" width="23.140625" bestFit="1" customWidth="1"/>
  </cols>
  <sheetData>
    <row r="1" spans="1:15" x14ac:dyDescent="0.25">
      <c r="A1" s="6" t="s">
        <v>0</v>
      </c>
      <c r="B1" s="1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7</v>
      </c>
      <c r="H1" s="6" t="s">
        <v>8</v>
      </c>
      <c r="I1" s="7" t="s">
        <v>9</v>
      </c>
      <c r="J1" s="13" t="s">
        <v>10</v>
      </c>
      <c r="K1" s="14" t="s">
        <v>6</v>
      </c>
      <c r="L1" s="14" t="s">
        <v>12</v>
      </c>
      <c r="M1" s="14" t="s">
        <v>14</v>
      </c>
      <c r="N1" s="3" t="s">
        <v>32</v>
      </c>
      <c r="O1" s="3" t="s">
        <v>22</v>
      </c>
    </row>
    <row r="2" spans="1:15" x14ac:dyDescent="0.25">
      <c r="A2" s="4">
        <v>101</v>
      </c>
      <c r="B2" s="8" t="s">
        <v>25</v>
      </c>
      <c r="C2" s="2">
        <v>58</v>
      </c>
      <c r="D2" s="2">
        <v>45</v>
      </c>
      <c r="E2" s="2">
        <v>45</v>
      </c>
      <c r="F2" s="2">
        <v>81</v>
      </c>
      <c r="G2" s="5">
        <v>54</v>
      </c>
      <c r="H2" s="5">
        <v>66</v>
      </c>
      <c r="I2" s="5">
        <v>55</v>
      </c>
      <c r="J2" s="2">
        <f>SUM(C2:I2)</f>
        <v>404</v>
      </c>
      <c r="K2" s="2">
        <f>AVERAGE(J2/7)</f>
        <v>57.714285714285715</v>
      </c>
      <c r="L2" s="2">
        <f>MAX(C2:I2)</f>
        <v>81</v>
      </c>
      <c r="M2" s="2">
        <f>MIN(C2:I2)</f>
        <v>45</v>
      </c>
      <c r="N2" s="1">
        <f>MAX(C2:I2)</f>
        <v>81</v>
      </c>
      <c r="O2" s="1">
        <f>MIN(C2:I2)</f>
        <v>45</v>
      </c>
    </row>
    <row r="3" spans="1:15" x14ac:dyDescent="0.25">
      <c r="A3" s="4">
        <v>102</v>
      </c>
      <c r="B3" s="8" t="s">
        <v>26</v>
      </c>
      <c r="C3" s="2">
        <v>55</v>
      </c>
      <c r="D3" s="2">
        <v>55</v>
      </c>
      <c r="E3" s="2">
        <v>66</v>
      </c>
      <c r="F3" s="2">
        <v>77</v>
      </c>
      <c r="G3" s="5">
        <v>65</v>
      </c>
      <c r="H3" s="5">
        <v>68</v>
      </c>
      <c r="I3" s="5">
        <v>65</v>
      </c>
      <c r="J3" s="2">
        <f t="shared" ref="J3:J10" si="0">SUM(C3:I3)</f>
        <v>451</v>
      </c>
      <c r="K3" s="2">
        <f t="shared" ref="K3:K10" si="1">AVERAGE(J3/7)</f>
        <v>64.428571428571431</v>
      </c>
      <c r="L3" s="2">
        <f t="shared" ref="L3:L10" si="2">MAX(C3:I3)</f>
        <v>77</v>
      </c>
      <c r="M3" s="2">
        <f t="shared" ref="M3:M10" si="3">MIN(C3:I3)</f>
        <v>55</v>
      </c>
      <c r="N3" s="1">
        <f t="shared" ref="N3:N10" si="4">MAX(C3:I3)</f>
        <v>77</v>
      </c>
      <c r="O3" s="1">
        <f t="shared" ref="O3:O10" si="5">MIN(C3:I3)</f>
        <v>55</v>
      </c>
    </row>
    <row r="4" spans="1:15" x14ac:dyDescent="0.25">
      <c r="A4" s="4">
        <v>103</v>
      </c>
      <c r="B4" s="8" t="s">
        <v>11</v>
      </c>
      <c r="C4" s="2">
        <v>60</v>
      </c>
      <c r="D4" s="2">
        <v>50</v>
      </c>
      <c r="E4" s="2">
        <v>50</v>
      </c>
      <c r="F4" s="2">
        <v>45</v>
      </c>
      <c r="G4" s="5">
        <v>61</v>
      </c>
      <c r="H4" s="5">
        <v>45</v>
      </c>
      <c r="I4" s="5">
        <v>25</v>
      </c>
      <c r="J4" s="2">
        <f t="shared" si="0"/>
        <v>336</v>
      </c>
      <c r="K4" s="2">
        <f t="shared" si="1"/>
        <v>48</v>
      </c>
      <c r="L4" s="2">
        <f t="shared" si="2"/>
        <v>61</v>
      </c>
      <c r="M4" s="2">
        <f t="shared" si="3"/>
        <v>25</v>
      </c>
      <c r="N4" s="1">
        <f t="shared" si="4"/>
        <v>61</v>
      </c>
      <c r="O4" s="1">
        <f t="shared" si="5"/>
        <v>25</v>
      </c>
    </row>
    <row r="5" spans="1:15" x14ac:dyDescent="0.25">
      <c r="A5" s="4">
        <v>104</v>
      </c>
      <c r="B5" s="8" t="s">
        <v>24</v>
      </c>
      <c r="C5" s="2">
        <v>80</v>
      </c>
      <c r="D5" s="2">
        <v>77</v>
      </c>
      <c r="E5" s="2">
        <v>66</v>
      </c>
      <c r="F5" s="2">
        <v>65</v>
      </c>
      <c r="G5" s="5">
        <v>25</v>
      </c>
      <c r="H5" s="5">
        <v>62</v>
      </c>
      <c r="I5" s="5">
        <v>47</v>
      </c>
      <c r="J5" s="2">
        <f t="shared" si="0"/>
        <v>422</v>
      </c>
      <c r="K5" s="2">
        <f t="shared" si="1"/>
        <v>60.285714285714285</v>
      </c>
      <c r="L5" s="2">
        <f t="shared" si="2"/>
        <v>80</v>
      </c>
      <c r="M5" s="2">
        <f t="shared" si="3"/>
        <v>25</v>
      </c>
      <c r="N5" s="1">
        <f t="shared" si="4"/>
        <v>80</v>
      </c>
      <c r="O5" s="1">
        <f t="shared" si="5"/>
        <v>25</v>
      </c>
    </row>
    <row r="6" spans="1:15" x14ac:dyDescent="0.25">
      <c r="A6" s="4">
        <v>105</v>
      </c>
      <c r="B6" s="8" t="s">
        <v>27</v>
      </c>
      <c r="C6" s="2">
        <v>81</v>
      </c>
      <c r="D6" s="2">
        <v>80</v>
      </c>
      <c r="E6" s="2">
        <v>77</v>
      </c>
      <c r="F6" s="2">
        <v>75</v>
      </c>
      <c r="G6" s="5">
        <v>58</v>
      </c>
      <c r="H6" s="5">
        <v>95</v>
      </c>
      <c r="I6" s="5">
        <v>85</v>
      </c>
      <c r="J6" s="2">
        <f t="shared" si="0"/>
        <v>551</v>
      </c>
      <c r="K6" s="2">
        <f t="shared" si="1"/>
        <v>78.714285714285708</v>
      </c>
      <c r="L6" s="2">
        <f t="shared" si="2"/>
        <v>95</v>
      </c>
      <c r="M6" s="2">
        <f t="shared" si="3"/>
        <v>58</v>
      </c>
      <c r="N6" s="1">
        <f t="shared" si="4"/>
        <v>95</v>
      </c>
      <c r="O6" s="1">
        <f t="shared" si="5"/>
        <v>58</v>
      </c>
    </row>
    <row r="7" spans="1:15" x14ac:dyDescent="0.25">
      <c r="A7" s="4">
        <v>106</v>
      </c>
      <c r="B7" s="8" t="s">
        <v>28</v>
      </c>
      <c r="C7" s="2">
        <v>58</v>
      </c>
      <c r="D7" s="2">
        <v>66</v>
      </c>
      <c r="E7" s="2">
        <v>85</v>
      </c>
      <c r="F7" s="2">
        <v>88</v>
      </c>
      <c r="G7" s="5">
        <v>28</v>
      </c>
      <c r="H7" s="5">
        <v>75</v>
      </c>
      <c r="I7" s="5">
        <v>45</v>
      </c>
      <c r="J7" s="2">
        <f t="shared" si="0"/>
        <v>445</v>
      </c>
      <c r="K7" s="2">
        <f t="shared" si="1"/>
        <v>63.571428571428569</v>
      </c>
      <c r="L7" s="2">
        <f t="shared" si="2"/>
        <v>88</v>
      </c>
      <c r="M7" s="2">
        <f t="shared" si="3"/>
        <v>28</v>
      </c>
      <c r="N7" s="1">
        <f t="shared" si="4"/>
        <v>88</v>
      </c>
      <c r="O7" s="1">
        <f t="shared" si="5"/>
        <v>28</v>
      </c>
    </row>
    <row r="8" spans="1:15" x14ac:dyDescent="0.25">
      <c r="A8" s="4">
        <v>107</v>
      </c>
      <c r="B8" s="8" t="s">
        <v>29</v>
      </c>
      <c r="C8" s="2">
        <v>85</v>
      </c>
      <c r="D8" s="2">
        <v>52</v>
      </c>
      <c r="E8" s="2">
        <v>75</v>
      </c>
      <c r="F8" s="2">
        <v>85</v>
      </c>
      <c r="G8" s="5">
        <v>56</v>
      </c>
      <c r="H8" s="5">
        <v>65</v>
      </c>
      <c r="I8" s="5">
        <v>56</v>
      </c>
      <c r="J8" s="2">
        <f t="shared" si="0"/>
        <v>474</v>
      </c>
      <c r="K8" s="2">
        <f t="shared" si="1"/>
        <v>67.714285714285708</v>
      </c>
      <c r="L8" s="2">
        <f t="shared" si="2"/>
        <v>85</v>
      </c>
      <c r="M8" s="2">
        <f t="shared" si="3"/>
        <v>52</v>
      </c>
      <c r="N8" s="1">
        <f t="shared" si="4"/>
        <v>85</v>
      </c>
      <c r="O8" s="1">
        <f t="shared" si="5"/>
        <v>52</v>
      </c>
    </row>
    <row r="9" spans="1:15" x14ac:dyDescent="0.25">
      <c r="A9" s="4">
        <v>108</v>
      </c>
      <c r="B9" s="8" t="s">
        <v>30</v>
      </c>
      <c r="C9" s="2">
        <v>88</v>
      </c>
      <c r="D9" s="2">
        <v>74</v>
      </c>
      <c r="E9" s="2">
        <v>48</v>
      </c>
      <c r="F9" s="2">
        <v>65</v>
      </c>
      <c r="G9" s="5">
        <v>75</v>
      </c>
      <c r="H9" s="5">
        <v>44</v>
      </c>
      <c r="I9" s="5">
        <v>98</v>
      </c>
      <c r="J9" s="2">
        <f t="shared" si="0"/>
        <v>492</v>
      </c>
      <c r="K9" s="2">
        <f t="shared" si="1"/>
        <v>70.285714285714292</v>
      </c>
      <c r="L9" s="2">
        <f t="shared" si="2"/>
        <v>98</v>
      </c>
      <c r="M9" s="2">
        <f t="shared" si="3"/>
        <v>44</v>
      </c>
      <c r="N9" s="1">
        <f t="shared" si="4"/>
        <v>98</v>
      </c>
      <c r="O9" s="1">
        <f t="shared" si="5"/>
        <v>44</v>
      </c>
    </row>
    <row r="10" spans="1:15" x14ac:dyDescent="0.25">
      <c r="A10" s="4">
        <v>109</v>
      </c>
      <c r="B10" s="8" t="s">
        <v>31</v>
      </c>
      <c r="C10" s="2">
        <v>90</v>
      </c>
      <c r="D10" s="2">
        <v>90</v>
      </c>
      <c r="E10" s="2">
        <v>44</v>
      </c>
      <c r="F10" s="2">
        <v>45</v>
      </c>
      <c r="G10" s="5">
        <v>87</v>
      </c>
      <c r="H10" s="5">
        <v>45</v>
      </c>
      <c r="I10" s="5">
        <v>65</v>
      </c>
      <c r="J10" s="2">
        <f t="shared" si="0"/>
        <v>466</v>
      </c>
      <c r="K10" s="2">
        <f t="shared" si="1"/>
        <v>66.571428571428569</v>
      </c>
      <c r="L10" s="2">
        <f t="shared" si="2"/>
        <v>90</v>
      </c>
      <c r="M10" s="2">
        <f t="shared" si="3"/>
        <v>44</v>
      </c>
      <c r="N10" s="1">
        <f t="shared" si="4"/>
        <v>90</v>
      </c>
      <c r="O10" s="1">
        <f t="shared" si="5"/>
        <v>44</v>
      </c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9" t="s">
        <v>13</v>
      </c>
      <c r="C12" s="2">
        <f>MAX(C2:C10)</f>
        <v>90</v>
      </c>
      <c r="D12" s="2">
        <f t="shared" ref="D12:I12" si="6">MAX(D2:D10)</f>
        <v>90</v>
      </c>
      <c r="E12" s="2">
        <f t="shared" si="6"/>
        <v>85</v>
      </c>
      <c r="F12" s="2">
        <f t="shared" si="6"/>
        <v>88</v>
      </c>
      <c r="G12" s="2">
        <f t="shared" si="6"/>
        <v>87</v>
      </c>
      <c r="H12" s="2">
        <f t="shared" si="6"/>
        <v>95</v>
      </c>
      <c r="I12" s="2">
        <f t="shared" si="6"/>
        <v>98</v>
      </c>
      <c r="J12" s="1"/>
      <c r="K12" s="12" t="s">
        <v>21</v>
      </c>
      <c r="L12" s="12" t="s">
        <v>23</v>
      </c>
      <c r="M12" s="1"/>
    </row>
    <row r="13" spans="1:15" x14ac:dyDescent="0.25">
      <c r="A13" s="1"/>
      <c r="B13" s="10" t="s">
        <v>15</v>
      </c>
      <c r="C13" s="2">
        <f>MIN(C2:C10)</f>
        <v>55</v>
      </c>
      <c r="D13" s="2">
        <f t="shared" ref="D13:I13" si="7">MIN(D2:D10)</f>
        <v>45</v>
      </c>
      <c r="E13" s="2">
        <f t="shared" si="7"/>
        <v>44</v>
      </c>
      <c r="F13" s="2">
        <f t="shared" si="7"/>
        <v>45</v>
      </c>
      <c r="G13" s="2">
        <f t="shared" si="7"/>
        <v>25</v>
      </c>
      <c r="H13" s="2">
        <f t="shared" si="7"/>
        <v>44</v>
      </c>
      <c r="I13" s="2">
        <f t="shared" si="7"/>
        <v>25</v>
      </c>
      <c r="J13" s="1"/>
      <c r="K13" s="2">
        <f>MAX(K2:K10)</f>
        <v>78.714285714285708</v>
      </c>
      <c r="L13" s="2">
        <f>COUNTIF(C12:I12,"&gt;=80")</f>
        <v>7</v>
      </c>
      <c r="M13" s="1"/>
    </row>
    <row r="14" spans="1:15" x14ac:dyDescent="0.25">
      <c r="A14" s="1"/>
      <c r="B14" s="11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</row>
    <row r="15" spans="1:15" x14ac:dyDescent="0.25">
      <c r="A15" s="1"/>
      <c r="B15" s="10" t="s">
        <v>16</v>
      </c>
      <c r="C15" s="2">
        <f>COUNT(C2:C10)</f>
        <v>9</v>
      </c>
      <c r="D15" s="2">
        <f t="shared" ref="D15:I15" si="8">COUNT(D2:D10)</f>
        <v>9</v>
      </c>
      <c r="E15" s="2">
        <f t="shared" si="8"/>
        <v>9</v>
      </c>
      <c r="F15" s="2">
        <f t="shared" si="8"/>
        <v>9</v>
      </c>
      <c r="G15" s="2">
        <f t="shared" si="8"/>
        <v>9</v>
      </c>
      <c r="H15" s="2">
        <f t="shared" si="8"/>
        <v>9</v>
      </c>
      <c r="I15" s="2">
        <f t="shared" si="8"/>
        <v>9</v>
      </c>
      <c r="J15" s="1"/>
      <c r="K15" s="1"/>
      <c r="L15" s="1"/>
      <c r="M15" s="1"/>
      <c r="N15" s="1"/>
      <c r="O15" s="1"/>
    </row>
    <row r="16" spans="1:15" x14ac:dyDescent="0.25">
      <c r="A16" s="1"/>
      <c r="B16" s="10" t="s">
        <v>17</v>
      </c>
      <c r="C16" s="2">
        <f>COUNTIF(C2:C10,"&gt;=80")</f>
        <v>5</v>
      </c>
      <c r="D16" s="2">
        <f t="shared" ref="D16:I16" si="9">COUNTIF(D2:D10,"&gt;=80")</f>
        <v>2</v>
      </c>
      <c r="E16" s="2">
        <f t="shared" si="9"/>
        <v>1</v>
      </c>
      <c r="F16" s="2">
        <f t="shared" si="9"/>
        <v>3</v>
      </c>
      <c r="G16" s="2">
        <f t="shared" si="9"/>
        <v>1</v>
      </c>
      <c r="H16" s="2">
        <f t="shared" si="9"/>
        <v>1</v>
      </c>
      <c r="I16" s="2">
        <f t="shared" si="9"/>
        <v>2</v>
      </c>
      <c r="J16" s="1"/>
      <c r="K16" s="1"/>
      <c r="L16" s="1"/>
      <c r="M16" s="1"/>
      <c r="N16" s="1"/>
      <c r="O16" s="1"/>
    </row>
    <row r="17" spans="1:15" x14ac:dyDescent="0.25">
      <c r="A17" s="1"/>
      <c r="B17" s="10" t="s">
        <v>18</v>
      </c>
      <c r="C17" s="2">
        <f>COUNTIF(C2:C10,"&lt;=80")</f>
        <v>5</v>
      </c>
      <c r="D17" s="2">
        <f t="shared" ref="D17:I17" si="10">COUNTIF(D2:D10,"&lt;=80")</f>
        <v>8</v>
      </c>
      <c r="E17" s="2">
        <f t="shared" si="10"/>
        <v>8</v>
      </c>
      <c r="F17" s="2">
        <f t="shared" si="10"/>
        <v>6</v>
      </c>
      <c r="G17" s="2">
        <f t="shared" si="10"/>
        <v>8</v>
      </c>
      <c r="H17" s="2">
        <f t="shared" si="10"/>
        <v>8</v>
      </c>
      <c r="I17" s="2">
        <f t="shared" si="10"/>
        <v>7</v>
      </c>
      <c r="J17" s="1"/>
      <c r="K17" s="1"/>
      <c r="L17" s="1"/>
      <c r="M17" s="1"/>
      <c r="N17" s="1"/>
      <c r="O17" s="1"/>
    </row>
    <row r="18" spans="1:15" x14ac:dyDescent="0.25">
      <c r="A18" s="1"/>
      <c r="B18" s="10" t="s">
        <v>19</v>
      </c>
      <c r="C18" s="2">
        <f>COUNTIF(C2:C10,"&gt;=90")</f>
        <v>1</v>
      </c>
      <c r="D18" s="2">
        <f t="shared" ref="D18:I18" si="11">COUNTIF(D2:D10,"&gt;=90")</f>
        <v>1</v>
      </c>
      <c r="E18" s="2">
        <f t="shared" si="11"/>
        <v>0</v>
      </c>
      <c r="F18" s="2">
        <f t="shared" si="11"/>
        <v>0</v>
      </c>
      <c r="G18" s="2">
        <f t="shared" si="11"/>
        <v>0</v>
      </c>
      <c r="H18" s="2">
        <f t="shared" si="11"/>
        <v>1</v>
      </c>
      <c r="I18" s="2">
        <f t="shared" si="11"/>
        <v>1</v>
      </c>
      <c r="J18" s="1"/>
      <c r="K18" s="1"/>
      <c r="L18" s="1"/>
      <c r="M18" s="1"/>
      <c r="N18" s="1"/>
      <c r="O18" s="1"/>
    </row>
    <row r="19" spans="1:15" x14ac:dyDescent="0.25">
      <c r="A19" s="1"/>
      <c r="B19" s="10" t="s">
        <v>20</v>
      </c>
      <c r="C19" s="2">
        <f>COUNTIF(C2:C10,"&lt;=60")</f>
        <v>4</v>
      </c>
      <c r="D19" s="2">
        <f t="shared" ref="D19:I19" si="12">COUNTIF(D2:D10,"&lt;=60")</f>
        <v>4</v>
      </c>
      <c r="E19" s="2">
        <f t="shared" si="12"/>
        <v>4</v>
      </c>
      <c r="F19" s="2">
        <f t="shared" si="12"/>
        <v>2</v>
      </c>
      <c r="G19" s="2">
        <f t="shared" si="12"/>
        <v>5</v>
      </c>
      <c r="H19" s="2">
        <f t="shared" si="12"/>
        <v>3</v>
      </c>
      <c r="I19" s="2">
        <f t="shared" si="12"/>
        <v>5</v>
      </c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EIILM Kolkata</cp:lastModifiedBy>
  <dcterms:created xsi:type="dcterms:W3CDTF">2026-08-31T10:04:48Z</dcterms:created>
  <dcterms:modified xsi:type="dcterms:W3CDTF">2026-09-07T10:18:26Z</dcterms:modified>
</cp:coreProperties>
</file>